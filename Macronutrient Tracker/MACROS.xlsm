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cho\Documents\PythonProjects\Macronutrient Tracker\"/>
    </mc:Choice>
  </mc:AlternateContent>
  <xr:revisionPtr revIDLastSave="0" documentId="13_ncr:1_{087AE252-0294-4357-B072-9B9004C83BDF}" xr6:coauthVersionLast="46" xr6:coauthVersionMax="46" xr10:uidLastSave="{00000000-0000-0000-0000-000000000000}"/>
  <bookViews>
    <workbookView xWindow="-110" yWindow="-110" windowWidth="19420" windowHeight="10420" tabRatio="771" activeTab="3" xr2:uid="{BA8860C2-ABC3-4BAB-9F4B-EA68504414CB}"/>
  </bookViews>
  <sheets>
    <sheet name="Overview" sheetId="1" r:id="rId1"/>
    <sheet name="Meals" sheetId="2" r:id="rId2"/>
    <sheet name="Foods" sheetId="3" r:id="rId3"/>
    <sheet name="Return" sheetId="4" r:id="rId4"/>
    <sheet name="Nutrients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77" i="1" l="1"/>
  <c r="I77" i="1"/>
  <c r="H77" i="1"/>
  <c r="G77" i="1"/>
  <c r="F77" i="1"/>
  <c r="E77" i="1"/>
  <c r="D77" i="1"/>
  <c r="C77" i="1"/>
  <c r="J62" i="1"/>
  <c r="I62" i="1"/>
  <c r="H62" i="1"/>
  <c r="G62" i="1"/>
  <c r="F62" i="1"/>
  <c r="E62" i="1"/>
  <c r="D62" i="1"/>
  <c r="C62" i="1"/>
  <c r="J47" i="1"/>
  <c r="I47" i="1"/>
  <c r="H47" i="1"/>
  <c r="G47" i="1"/>
  <c r="F47" i="1"/>
  <c r="E47" i="1"/>
  <c r="D47" i="1"/>
  <c r="C47" i="1"/>
  <c r="J32" i="1"/>
  <c r="I32" i="1"/>
  <c r="H32" i="1"/>
  <c r="G32" i="1"/>
  <c r="F32" i="1"/>
  <c r="E32" i="1"/>
  <c r="D32" i="1"/>
  <c r="C32" i="1"/>
  <c r="J17" i="1"/>
  <c r="J2" i="1" s="1"/>
  <c r="I17" i="1"/>
  <c r="I2" i="1" s="1"/>
  <c r="H17" i="1"/>
  <c r="H2" i="1" s="1"/>
  <c r="G17" i="1"/>
  <c r="G2" i="1" s="1"/>
  <c r="F17" i="1"/>
  <c r="F2" i="1" s="1"/>
  <c r="E17" i="1"/>
  <c r="E2" i="1" s="1"/>
  <c r="D17" i="1"/>
  <c r="D2" i="1" s="1"/>
  <c r="C17" i="1"/>
  <c r="C2" i="1" s="1"/>
</calcChain>
</file>

<file path=xl/sharedStrings.xml><?xml version="1.0" encoding="utf-8"?>
<sst xmlns="http://schemas.openxmlformats.org/spreadsheetml/2006/main" count="229" uniqueCount="134">
  <si>
    <t>Meal 1</t>
  </si>
  <si>
    <t>Quantity</t>
  </si>
  <si>
    <t>Calories</t>
  </si>
  <si>
    <t>Protein</t>
  </si>
  <si>
    <t>Fiber</t>
  </si>
  <si>
    <t>Sugar</t>
  </si>
  <si>
    <t>Fats</t>
  </si>
  <si>
    <t>Saturated Fats</t>
  </si>
  <si>
    <t>Day Total</t>
  </si>
  <si>
    <t>Servings</t>
  </si>
  <si>
    <t>Serving Size</t>
  </si>
  <si>
    <t>Meal 2</t>
  </si>
  <si>
    <t>Meal 3</t>
  </si>
  <si>
    <t>Meal 4</t>
  </si>
  <si>
    <t>Meal 5</t>
  </si>
  <si>
    <t>Total</t>
  </si>
  <si>
    <t>Client Name</t>
  </si>
  <si>
    <t>Nicholas Gonzalez</t>
  </si>
  <si>
    <t>Client Name Below + CTRL-SHIFT-G</t>
  </si>
  <si>
    <t>Meal Name</t>
  </si>
  <si>
    <t>Food</t>
  </si>
  <si>
    <t>Carbs</t>
  </si>
  <si>
    <t>food_name</t>
  </si>
  <si>
    <t>serving_unit</t>
  </si>
  <si>
    <t>nix_brand_id</t>
  </si>
  <si>
    <t>brand_name_item_name</t>
  </si>
  <si>
    <t>serving_qty</t>
  </si>
  <si>
    <t>photo</t>
  </si>
  <si>
    <t>brand_name</t>
  </si>
  <si>
    <t>region</t>
  </si>
  <si>
    <t>brand_type</t>
  </si>
  <si>
    <t>nix_item_id</t>
  </si>
  <si>
    <t>locale</t>
  </si>
  <si>
    <t>serving_weight_grams</t>
  </si>
  <si>
    <t>nf_protein (g)</t>
  </si>
  <si>
    <t>nf_total_fat (g)</t>
  </si>
  <si>
    <t>nf_total_carbohydrate (g)</t>
  </si>
  <si>
    <t>nf_calories (kcal)</t>
  </si>
  <si>
    <t>nf_sugars (g)</t>
  </si>
  <si>
    <t>nf_dietary_fiber (g)</t>
  </si>
  <si>
    <t>nf_calcium_mg (mg)</t>
  </si>
  <si>
    <t>nf_Iron, Fe_mg (mg)</t>
  </si>
  <si>
    <t>nf_potassium (mg)</t>
  </si>
  <si>
    <t>nf_sodium (mg)</t>
  </si>
  <si>
    <t>nf_vitamin_d_mcg (IU)</t>
  </si>
  <si>
    <t>nf_added_sugars (g)</t>
  </si>
  <si>
    <t>nf_cholesterol (mg)</t>
  </si>
  <si>
    <t>nf_trans_fatty_acid (g)</t>
  </si>
  <si>
    <t>nf_saturated_fat (g)</t>
  </si>
  <si>
    <t>en_US</t>
  </si>
  <si>
    <t>nf_fatty acids, total monounsaturated_g (g)</t>
  </si>
  <si>
    <t>nf_fatty acids, total polyunsaturated_g (g)</t>
  </si>
  <si>
    <t>nf_vitamin a, iu_iu (IU)</t>
  </si>
  <si>
    <t>cup dry</t>
  </si>
  <si>
    <t>51db37d2176fe9790a899e57</t>
  </si>
  <si>
    <t>Quaker Oats</t>
  </si>
  <si>
    <t>Old Fashioned Oats</t>
  </si>
  <si>
    <t>Quaker Oats Old Fashioned Oats</t>
  </si>
  <si>
    <t>https://nutritionix-api.s3.amazonaws.com/5dda312db80e38715c39e6d2.jpeg</t>
  </si>
  <si>
    <t>51c54a5d97c3e6efadd60584</t>
  </si>
  <si>
    <t>Oikos Triple Zero, Vanilla</t>
  </si>
  <si>
    <t>cup</t>
  </si>
  <si>
    <t>51db37c5176fe9790a89933c</t>
  </si>
  <si>
    <t>Dannon Oikos Triple Zero, Vanilla</t>
  </si>
  <si>
    <t>https://nutritionix-api.s3.amazonaws.com/54e7596e014162fb234f48ab.jpeg</t>
  </si>
  <si>
    <t>Dannon</t>
  </si>
  <si>
    <t>54d2a2044aacf3914dd8d928</t>
  </si>
  <si>
    <t>index</t>
  </si>
  <si>
    <t>nan</t>
  </si>
  <si>
    <t>nuts</t>
  </si>
  <si>
    <t>51db37ba176fe9790a898d06</t>
  </si>
  <si>
    <t>Blue Diamond</t>
  </si>
  <si>
    <t>Almonds, Lightly Salted</t>
  </si>
  <si>
    <t>Blue Diamond Almonds, Lightly Salted</t>
  </si>
  <si>
    <t>https://nutritionix-api.s3.amazonaws.com/5f997b01111275577b01ae7f.jpeg</t>
  </si>
  <si>
    <t>53874411c58919142a541faf</t>
  </si>
  <si>
    <t>2% Reduced Fat Milk</t>
  </si>
  <si>
    <t>51db37b1176fe9790a8984d4</t>
  </si>
  <si>
    <t>Publix 2% Reduced Fat Milk</t>
  </si>
  <si>
    <t>https://nutritionix-api.s3.amazonaws.com/5cc0c9d729c9bd3c04b7ccba.jpeg</t>
  </si>
  <si>
    <t>Publix</t>
  </si>
  <si>
    <t>53e90a2f39eb8edb77456a19</t>
  </si>
  <si>
    <t>None</t>
  </si>
  <si>
    <t>https://d2eawub7utcl6.cloudfront.net/images/nix-apple-grey.png</t>
  </si>
  <si>
    <t>nf_vitamin c, total ascorbic acid_mg (mg)</t>
  </si>
  <si>
    <t>100% Pure Pumpkin</t>
  </si>
  <si>
    <t>51db37be176fe9790a898f1e</t>
  </si>
  <si>
    <t>Libbys 100% Pure Pumpkin</t>
  </si>
  <si>
    <t>https://nutritionix-api.s3.amazonaws.com/536abbf4c7f5e4565d79fd81.jpeg</t>
  </si>
  <si>
    <t>Libbys</t>
  </si>
  <si>
    <t>51d2fc3acc9bff111580e1f3</t>
  </si>
  <si>
    <t>Eggs, Large</t>
  </si>
  <si>
    <t>egg</t>
  </si>
  <si>
    <t>Publix Eggs, Large</t>
  </si>
  <si>
    <t>51c3f24897c3e6de73cbd3a2</t>
  </si>
  <si>
    <t>Liquid Egg Whites</t>
  </si>
  <si>
    <t>tbsp</t>
  </si>
  <si>
    <t>513fbc1283aa2dc80c000031</t>
  </si>
  <si>
    <t>Bob Evans Liquid Egg Whites</t>
  </si>
  <si>
    <t>https://nutritionix-api.s3.amazonaws.com/5dde2453de2c89de4aefb6cc.jpeg</t>
  </si>
  <si>
    <t>Bob Evans</t>
  </si>
  <si>
    <t>5dde2450547127c3571cd895</t>
  </si>
  <si>
    <t>Rice Krispies, Cereal</t>
  </si>
  <si>
    <t>51db37b0176fe9790a8983d8</t>
  </si>
  <si>
    <t>Kellogg's Rice Krispies, Cereal</t>
  </si>
  <si>
    <t>https://nutritionix-api.s3.amazonaws.com/600adde5cba1cceb720e54ae.jpeg</t>
  </si>
  <si>
    <t>Kellogg's</t>
  </si>
  <si>
    <t>5c35a500d4ff9a667fffb628</t>
  </si>
  <si>
    <t>Butter Bread</t>
  </si>
  <si>
    <t>slice</t>
  </si>
  <si>
    <t>51db37b9176fe9790a898bf4</t>
  </si>
  <si>
    <t>Nature's Own Butter Bread</t>
  </si>
  <si>
    <t>https://nutritionix-api.s3.amazonaws.com/56dfb5f4897347bd5166586b.jpeg</t>
  </si>
  <si>
    <t>Nature's Own</t>
  </si>
  <si>
    <t>56dfb567897347bd51665848</t>
  </si>
  <si>
    <t>Blueberries</t>
  </si>
  <si>
    <t>cup of blueberries</t>
  </si>
  <si>
    <t>539b4bd18fdd9c012ea0aa88</t>
  </si>
  <si>
    <t>Driscoll's Blueberries</t>
  </si>
  <si>
    <t>https://nutritionix-api.s3.amazonaws.com/53ce9c67d37b55d94491b090.jpeg</t>
  </si>
  <si>
    <t>Driscoll's</t>
  </si>
  <si>
    <t>53ce9c3947a0eda549a5eeda</t>
  </si>
  <si>
    <t>NaN</t>
  </si>
  <si>
    <t>Peanut Butter, Creamy</t>
  </si>
  <si>
    <t>51db37d7176fe9790a899f8e</t>
  </si>
  <si>
    <t>Jif Peanut Butter, Creamy</t>
  </si>
  <si>
    <t>https://nutritionix-api.s3.amazonaws.com/5c8b52f516eb6f4c5974d75f.jpeg</t>
  </si>
  <si>
    <t>Jif</t>
  </si>
  <si>
    <t>538744787dc556f117af04da</t>
  </si>
  <si>
    <t>oz</t>
  </si>
  <si>
    <t>Chicken Tenderloins</t>
  </si>
  <si>
    <t>Publix Chicken Tenderloins</t>
  </si>
  <si>
    <t>https://nutritionix-api.s3.amazonaws.com/551ada57200c17f836899f30.jpeg</t>
  </si>
  <si>
    <t>551ad8d449bbebc5780a607a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</si>
</sst>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lightHorizontal">
        <bgColor theme="4" tint="0.39994506668294322"/>
      </patternFill>
    </fill>
    <fill>
      <patternFill patternType="gray0625">
        <bgColor theme="4" tint="0.39988402966399123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2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0" fillId="7" borderId="3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0" xfId="0" applyFill="1" applyAlignment="1">
      <alignment horizontal="center"/>
    </xf>
    <xf numFmtId="2" fontId="0" fillId="2" borderId="1" xfId="0" applyNumberFormat="1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5" borderId="9" xfId="0" applyFont="1" applyFill="1" applyBorder="1" applyAlignment="1">
      <alignment horizontal="center"/>
    </xf>
    <xf numFmtId="0" fontId="1" fillId="5" borderId="10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/>
    </xf>
    <xf numFmtId="0" fontId="2" fillId="9" borderId="12" xfId="0" applyFont="1" applyFill="1" applyBorder="1" applyAlignment="1">
      <alignment horizontal="center"/>
    </xf>
    <xf numFmtId="0" fontId="2" fillId="9" borderId="0" xfId="0" applyFont="1" applyFill="1" applyAlignment="1">
      <alignment horizontal="center"/>
    </xf>
    <xf numFmtId="11" fontId="0" fillId="0" borderId="0" xfId="0" applyNumberFormat="1"/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F31C9-1F60-47DC-B610-E9A48743F376}">
  <sheetPr codeName="Sheet1"/>
  <dimension ref="A1:J226"/>
  <sheetViews>
    <sheetView zoomScale="110" zoomScaleNormal="110" workbookViewId="0">
      <pane ySplit="2" topLeftCell="A3" activePane="bottomLeft" state="frozen"/>
      <selection pane="bottomLeft" activeCell="A6" sqref="A6"/>
    </sheetView>
  </sheetViews>
  <sheetFormatPr defaultRowHeight="14.5" x14ac:dyDescent="0.35"/>
  <cols>
    <col min="1" max="1" width="32.6328125" customWidth="1"/>
    <col min="2" max="2" width="9.6328125" bestFit="1" customWidth="1"/>
    <col min="3" max="10" width="13.6328125" customWidth="1"/>
  </cols>
  <sheetData>
    <row r="1" spans="1:10" x14ac:dyDescent="0.35">
      <c r="A1" s="27" t="s">
        <v>18</v>
      </c>
      <c r="B1" s="19"/>
      <c r="C1" s="20" t="s">
        <v>2</v>
      </c>
      <c r="D1" s="21" t="s">
        <v>3</v>
      </c>
      <c r="E1" s="21" t="s">
        <v>21</v>
      </c>
      <c r="F1" s="20" t="s">
        <v>4</v>
      </c>
      <c r="G1" s="20" t="s">
        <v>5</v>
      </c>
      <c r="H1" s="20" t="s">
        <v>6</v>
      </c>
      <c r="I1" s="21" t="s">
        <v>7</v>
      </c>
      <c r="J1" s="22" t="s">
        <v>10</v>
      </c>
    </row>
    <row r="2" spans="1:10" ht="15" thickBot="1" x14ac:dyDescent="0.4">
      <c r="A2" s="28" t="s">
        <v>17</v>
      </c>
      <c r="B2" s="23" t="s">
        <v>8</v>
      </c>
      <c r="C2" s="24">
        <f>C17+C32+C47+C62+C77</f>
        <v>0</v>
      </c>
      <c r="D2" s="25">
        <f t="shared" ref="D2:J2" si="0">D17+D32+D47+D62+D77</f>
        <v>0</v>
      </c>
      <c r="E2" s="25">
        <f t="shared" si="0"/>
        <v>0</v>
      </c>
      <c r="F2" s="24">
        <f t="shared" si="0"/>
        <v>0</v>
      </c>
      <c r="G2" s="24">
        <f t="shared" si="0"/>
        <v>0</v>
      </c>
      <c r="H2" s="24">
        <f t="shared" si="0"/>
        <v>0</v>
      </c>
      <c r="I2" s="25">
        <f t="shared" si="0"/>
        <v>0</v>
      </c>
      <c r="J2" s="26">
        <f t="shared" si="0"/>
        <v>0</v>
      </c>
    </row>
    <row r="3" spans="1:10" ht="3.5" customHeight="1" x14ac:dyDescent="0.35">
      <c r="A3" s="10"/>
      <c r="B3" s="12"/>
      <c r="C3" s="11"/>
      <c r="D3" s="12"/>
      <c r="E3" s="12"/>
      <c r="F3" s="11"/>
      <c r="G3" s="11"/>
      <c r="H3" s="11"/>
      <c r="I3" s="12"/>
      <c r="J3" s="12"/>
    </row>
    <row r="4" spans="1:10" x14ac:dyDescent="0.35">
      <c r="A4" s="9" t="s">
        <v>0</v>
      </c>
      <c r="B4" s="13" t="s">
        <v>9</v>
      </c>
      <c r="C4" s="14"/>
      <c r="D4" s="15"/>
      <c r="E4" s="15"/>
      <c r="F4" s="14"/>
      <c r="G4" s="14"/>
      <c r="H4" s="14"/>
      <c r="I4" s="15"/>
      <c r="J4" s="15"/>
    </row>
    <row r="5" spans="1:10" x14ac:dyDescent="0.35">
      <c r="A5" s="2"/>
      <c r="B5" s="17"/>
      <c r="C5" s="4"/>
      <c r="D5" s="4"/>
      <c r="E5" s="4"/>
      <c r="F5" s="4"/>
      <c r="G5" s="4"/>
      <c r="H5" s="4"/>
      <c r="I5" s="4"/>
      <c r="J5" s="6"/>
    </row>
    <row r="6" spans="1:10" x14ac:dyDescent="0.35">
      <c r="A6" s="3"/>
      <c r="B6" s="18"/>
      <c r="C6" s="5"/>
      <c r="D6" s="5"/>
      <c r="E6" s="5"/>
      <c r="F6" s="5"/>
      <c r="G6" s="5"/>
      <c r="H6" s="5"/>
      <c r="I6" s="5"/>
      <c r="J6" s="7"/>
    </row>
    <row r="7" spans="1:10" x14ac:dyDescent="0.35">
      <c r="A7" s="2"/>
      <c r="B7" s="17"/>
      <c r="C7" s="4"/>
      <c r="D7" s="4"/>
      <c r="E7" s="4"/>
      <c r="F7" s="4"/>
      <c r="G7" s="4"/>
      <c r="H7" s="4"/>
      <c r="I7" s="4"/>
      <c r="J7" s="6"/>
    </row>
    <row r="8" spans="1:10" x14ac:dyDescent="0.35">
      <c r="A8" s="3"/>
      <c r="B8" s="18"/>
      <c r="C8" s="5"/>
      <c r="D8" s="5"/>
      <c r="E8" s="5"/>
      <c r="F8" s="5"/>
      <c r="G8" s="5"/>
      <c r="H8" s="5"/>
      <c r="I8" s="5"/>
      <c r="J8" s="7"/>
    </row>
    <row r="9" spans="1:10" x14ac:dyDescent="0.35">
      <c r="A9" s="2"/>
      <c r="B9" s="17"/>
      <c r="C9" s="4"/>
      <c r="D9" s="4"/>
      <c r="E9" s="4"/>
      <c r="F9" s="4"/>
      <c r="G9" s="4"/>
      <c r="H9" s="4"/>
      <c r="I9" s="4"/>
      <c r="J9" s="6"/>
    </row>
    <row r="10" spans="1:10" x14ac:dyDescent="0.35">
      <c r="A10" s="3"/>
      <c r="B10" s="18"/>
      <c r="C10" s="5"/>
      <c r="D10" s="5"/>
      <c r="E10" s="5"/>
      <c r="F10" s="5"/>
      <c r="G10" s="5"/>
      <c r="H10" s="5"/>
      <c r="I10" s="5"/>
      <c r="J10" s="7"/>
    </row>
    <row r="11" spans="1:10" x14ac:dyDescent="0.35">
      <c r="A11" s="2"/>
      <c r="B11" s="17"/>
      <c r="C11" s="4"/>
      <c r="D11" s="4"/>
      <c r="E11" s="4"/>
      <c r="F11" s="4"/>
      <c r="G11" s="4"/>
      <c r="H11" s="4"/>
      <c r="I11" s="4"/>
      <c r="J11" s="6"/>
    </row>
    <row r="12" spans="1:10" x14ac:dyDescent="0.35">
      <c r="A12" s="3"/>
      <c r="B12" s="18"/>
      <c r="C12" s="5"/>
      <c r="D12" s="5"/>
      <c r="E12" s="5"/>
      <c r="F12" s="5"/>
      <c r="G12" s="5"/>
      <c r="H12" s="5"/>
      <c r="I12" s="5"/>
      <c r="J12" s="7"/>
    </row>
    <row r="13" spans="1:10" x14ac:dyDescent="0.35">
      <c r="A13" s="2"/>
      <c r="B13" s="17"/>
      <c r="C13" s="4"/>
      <c r="D13" s="4"/>
      <c r="E13" s="4"/>
      <c r="F13" s="4"/>
      <c r="G13" s="4"/>
      <c r="H13" s="4"/>
      <c r="I13" s="4"/>
      <c r="J13" s="6"/>
    </row>
    <row r="14" spans="1:10" x14ac:dyDescent="0.35">
      <c r="A14" s="3"/>
      <c r="B14" s="18"/>
      <c r="C14" s="5"/>
      <c r="D14" s="5"/>
      <c r="E14" s="5"/>
      <c r="F14" s="5"/>
      <c r="G14" s="5"/>
      <c r="H14" s="5"/>
      <c r="I14" s="5"/>
      <c r="J14" s="7"/>
    </row>
    <row r="15" spans="1:10" x14ac:dyDescent="0.35">
      <c r="A15" s="2"/>
      <c r="B15" s="17"/>
      <c r="C15" s="4"/>
      <c r="D15" s="4"/>
      <c r="E15" s="4"/>
      <c r="F15" s="4"/>
      <c r="G15" s="4"/>
      <c r="H15" s="4"/>
      <c r="I15" s="4"/>
      <c r="J15" s="6"/>
    </row>
    <row r="16" spans="1:10" x14ac:dyDescent="0.35">
      <c r="A16" s="3"/>
      <c r="B16" s="18"/>
      <c r="C16" s="5"/>
      <c r="D16" s="5"/>
      <c r="E16" s="5"/>
      <c r="F16" s="5"/>
      <c r="G16" s="5"/>
      <c r="H16" s="5"/>
      <c r="I16" s="5"/>
      <c r="J16" s="7"/>
    </row>
    <row r="17" spans="1:10" x14ac:dyDescent="0.35">
      <c r="A17" s="16"/>
      <c r="B17" s="8" t="s">
        <v>15</v>
      </c>
      <c r="C17" s="8">
        <f>SUM(C5:C16)</f>
        <v>0</v>
      </c>
      <c r="D17" s="8">
        <f t="shared" ref="D17:J17" si="1">SUM(D5:D16)</f>
        <v>0</v>
      </c>
      <c r="E17" s="8">
        <f t="shared" si="1"/>
        <v>0</v>
      </c>
      <c r="F17" s="8">
        <f t="shared" si="1"/>
        <v>0</v>
      </c>
      <c r="G17" s="8">
        <f t="shared" si="1"/>
        <v>0</v>
      </c>
      <c r="H17" s="8">
        <f t="shared" si="1"/>
        <v>0</v>
      </c>
      <c r="I17" s="8">
        <f t="shared" si="1"/>
        <v>0</v>
      </c>
      <c r="J17" s="8">
        <f t="shared" si="1"/>
        <v>0</v>
      </c>
    </row>
    <row r="18" spans="1:10" ht="3.5" customHeight="1" x14ac:dyDescent="0.35">
      <c r="A18" s="10"/>
      <c r="B18" s="12"/>
      <c r="C18" s="11"/>
      <c r="D18" s="12"/>
      <c r="E18" s="12"/>
      <c r="F18" s="11"/>
      <c r="G18" s="11"/>
      <c r="H18" s="11"/>
      <c r="I18" s="12"/>
      <c r="J18" s="12"/>
    </row>
    <row r="19" spans="1:10" x14ac:dyDescent="0.35">
      <c r="A19" s="9" t="s">
        <v>11</v>
      </c>
      <c r="B19" s="13" t="s">
        <v>9</v>
      </c>
      <c r="C19" s="14"/>
      <c r="D19" s="15"/>
      <c r="E19" s="15"/>
      <c r="F19" s="14"/>
      <c r="G19" s="14"/>
      <c r="H19" s="14"/>
      <c r="I19" s="15"/>
      <c r="J19" s="15"/>
    </row>
    <row r="20" spans="1:10" x14ac:dyDescent="0.35">
      <c r="A20" s="2"/>
      <c r="B20" s="17"/>
      <c r="C20" s="4"/>
      <c r="D20" s="4"/>
      <c r="E20" s="4"/>
      <c r="F20" s="4"/>
      <c r="G20" s="4"/>
      <c r="H20" s="4"/>
      <c r="I20" s="4"/>
      <c r="J20" s="6"/>
    </row>
    <row r="21" spans="1:10" x14ac:dyDescent="0.35">
      <c r="A21" s="3"/>
      <c r="B21" s="18"/>
      <c r="C21" s="5"/>
      <c r="D21" s="5"/>
      <c r="E21" s="5"/>
      <c r="F21" s="5"/>
      <c r="G21" s="5"/>
      <c r="H21" s="5"/>
      <c r="I21" s="5"/>
      <c r="J21" s="7"/>
    </row>
    <row r="22" spans="1:10" x14ac:dyDescent="0.35">
      <c r="A22" s="2"/>
      <c r="B22" s="17"/>
      <c r="C22" s="4"/>
      <c r="D22" s="4"/>
      <c r="E22" s="4"/>
      <c r="F22" s="4"/>
      <c r="G22" s="4"/>
      <c r="H22" s="4"/>
      <c r="I22" s="4"/>
      <c r="J22" s="6"/>
    </row>
    <row r="23" spans="1:10" x14ac:dyDescent="0.35">
      <c r="A23" s="3"/>
      <c r="B23" s="18"/>
      <c r="C23" s="5"/>
      <c r="D23" s="5"/>
      <c r="E23" s="5"/>
      <c r="F23" s="5"/>
      <c r="G23" s="5"/>
      <c r="H23" s="5"/>
      <c r="I23" s="5"/>
      <c r="J23" s="7"/>
    </row>
    <row r="24" spans="1:10" x14ac:dyDescent="0.35">
      <c r="A24" s="2"/>
      <c r="B24" s="17"/>
      <c r="C24" s="4"/>
      <c r="D24" s="4"/>
      <c r="E24" s="4"/>
      <c r="F24" s="4"/>
      <c r="G24" s="4"/>
      <c r="H24" s="4"/>
      <c r="I24" s="4"/>
      <c r="J24" s="6"/>
    </row>
    <row r="25" spans="1:10" x14ac:dyDescent="0.35">
      <c r="A25" s="3"/>
      <c r="B25" s="18"/>
      <c r="C25" s="5"/>
      <c r="D25" s="5"/>
      <c r="E25" s="5"/>
      <c r="F25" s="5"/>
      <c r="G25" s="5"/>
      <c r="H25" s="5"/>
      <c r="I25" s="5"/>
      <c r="J25" s="7"/>
    </row>
    <row r="26" spans="1:10" x14ac:dyDescent="0.35">
      <c r="A26" s="2"/>
      <c r="B26" s="17"/>
      <c r="C26" s="4"/>
      <c r="D26" s="4"/>
      <c r="E26" s="4"/>
      <c r="F26" s="4"/>
      <c r="G26" s="4"/>
      <c r="H26" s="4"/>
      <c r="I26" s="4"/>
      <c r="J26" s="6"/>
    </row>
    <row r="27" spans="1:10" x14ac:dyDescent="0.35">
      <c r="A27" s="3"/>
      <c r="B27" s="18"/>
      <c r="C27" s="5"/>
      <c r="D27" s="5"/>
      <c r="E27" s="5"/>
      <c r="F27" s="5"/>
      <c r="G27" s="5"/>
      <c r="H27" s="5"/>
      <c r="I27" s="5"/>
      <c r="J27" s="7"/>
    </row>
    <row r="28" spans="1:10" x14ac:dyDescent="0.35">
      <c r="A28" s="2"/>
      <c r="B28" s="17"/>
      <c r="C28" s="4"/>
      <c r="D28" s="4"/>
      <c r="E28" s="4"/>
      <c r="F28" s="4"/>
      <c r="G28" s="4"/>
      <c r="H28" s="4"/>
      <c r="I28" s="4"/>
      <c r="J28" s="6"/>
    </row>
    <row r="29" spans="1:10" x14ac:dyDescent="0.35">
      <c r="A29" s="3"/>
      <c r="B29" s="18"/>
      <c r="C29" s="5"/>
      <c r="D29" s="5"/>
      <c r="E29" s="5"/>
      <c r="F29" s="5"/>
      <c r="G29" s="5"/>
      <c r="H29" s="5"/>
      <c r="I29" s="5"/>
      <c r="J29" s="7"/>
    </row>
    <row r="30" spans="1:10" x14ac:dyDescent="0.35">
      <c r="A30" s="2"/>
      <c r="B30" s="17"/>
      <c r="C30" s="4"/>
      <c r="D30" s="4"/>
      <c r="E30" s="4"/>
      <c r="F30" s="4"/>
      <c r="G30" s="4"/>
      <c r="H30" s="4"/>
      <c r="I30" s="4"/>
      <c r="J30" s="6"/>
    </row>
    <row r="31" spans="1:10" x14ac:dyDescent="0.35">
      <c r="A31" s="3"/>
      <c r="B31" s="18"/>
      <c r="C31" s="5"/>
      <c r="D31" s="5"/>
      <c r="E31" s="5"/>
      <c r="F31" s="5"/>
      <c r="G31" s="5"/>
      <c r="H31" s="5"/>
      <c r="I31" s="5"/>
      <c r="J31" s="7"/>
    </row>
    <row r="32" spans="1:10" x14ac:dyDescent="0.35">
      <c r="A32" s="16"/>
      <c r="B32" s="8" t="s">
        <v>15</v>
      </c>
      <c r="C32" s="8">
        <f>SUM(C20:C31)</f>
        <v>0</v>
      </c>
      <c r="D32" s="8">
        <f t="shared" ref="D32" si="2">SUM(D20:D31)</f>
        <v>0</v>
      </c>
      <c r="E32" s="8">
        <f t="shared" ref="E32" si="3">SUM(E20:E31)</f>
        <v>0</v>
      </c>
      <c r="F32" s="8">
        <f t="shared" ref="F32" si="4">SUM(F20:F31)</f>
        <v>0</v>
      </c>
      <c r="G32" s="8">
        <f t="shared" ref="G32" si="5">SUM(G20:G31)</f>
        <v>0</v>
      </c>
      <c r="H32" s="8">
        <f t="shared" ref="H32" si="6">SUM(H20:H31)</f>
        <v>0</v>
      </c>
      <c r="I32" s="8">
        <f t="shared" ref="I32" si="7">SUM(I20:I31)</f>
        <v>0</v>
      </c>
      <c r="J32" s="8">
        <f t="shared" ref="J32" si="8">SUM(J20:J31)</f>
        <v>0</v>
      </c>
    </row>
    <row r="33" spans="1:10" ht="3.5" customHeight="1" x14ac:dyDescent="0.35">
      <c r="A33" s="10"/>
      <c r="B33" s="12"/>
      <c r="C33" s="11"/>
      <c r="D33" s="12"/>
      <c r="E33" s="12"/>
      <c r="F33" s="11"/>
      <c r="G33" s="11"/>
      <c r="H33" s="11"/>
      <c r="I33" s="12"/>
      <c r="J33" s="12"/>
    </row>
    <row r="34" spans="1:10" x14ac:dyDescent="0.35">
      <c r="A34" s="9" t="s">
        <v>12</v>
      </c>
      <c r="B34" s="13" t="s">
        <v>9</v>
      </c>
      <c r="C34" s="14"/>
      <c r="D34" s="15"/>
      <c r="E34" s="15"/>
      <c r="F34" s="14"/>
      <c r="G34" s="14"/>
      <c r="H34" s="14"/>
      <c r="I34" s="15"/>
      <c r="J34" s="15"/>
    </row>
    <row r="35" spans="1:10" x14ac:dyDescent="0.35">
      <c r="A35" s="2"/>
      <c r="B35" s="17"/>
      <c r="C35" s="4"/>
      <c r="D35" s="4"/>
      <c r="E35" s="4"/>
      <c r="F35" s="4"/>
      <c r="G35" s="4"/>
      <c r="H35" s="4"/>
      <c r="I35" s="4"/>
      <c r="J35" s="6"/>
    </row>
    <row r="36" spans="1:10" x14ac:dyDescent="0.35">
      <c r="A36" s="3"/>
      <c r="B36" s="18"/>
      <c r="C36" s="5"/>
      <c r="D36" s="5"/>
      <c r="E36" s="5"/>
      <c r="F36" s="5"/>
      <c r="G36" s="5"/>
      <c r="H36" s="5"/>
      <c r="I36" s="5"/>
      <c r="J36" s="7"/>
    </row>
    <row r="37" spans="1:10" x14ac:dyDescent="0.35">
      <c r="A37" s="2"/>
      <c r="B37" s="17"/>
      <c r="C37" s="4"/>
      <c r="D37" s="4"/>
      <c r="E37" s="4"/>
      <c r="F37" s="4"/>
      <c r="G37" s="4"/>
      <c r="H37" s="4"/>
      <c r="I37" s="4"/>
      <c r="J37" s="6"/>
    </row>
    <row r="38" spans="1:10" x14ac:dyDescent="0.35">
      <c r="A38" s="3"/>
      <c r="B38" s="18"/>
      <c r="C38" s="5"/>
      <c r="D38" s="5"/>
      <c r="E38" s="5"/>
      <c r="F38" s="5"/>
      <c r="G38" s="5"/>
      <c r="H38" s="5"/>
      <c r="I38" s="5"/>
      <c r="J38" s="7"/>
    </row>
    <row r="39" spans="1:10" x14ac:dyDescent="0.35">
      <c r="A39" s="2"/>
      <c r="B39" s="17"/>
      <c r="C39" s="4"/>
      <c r="D39" s="4"/>
      <c r="E39" s="4"/>
      <c r="F39" s="4"/>
      <c r="G39" s="4"/>
      <c r="H39" s="4"/>
      <c r="I39" s="4"/>
      <c r="J39" s="6"/>
    </row>
    <row r="40" spans="1:10" x14ac:dyDescent="0.35">
      <c r="A40" s="3"/>
      <c r="B40" s="18"/>
      <c r="C40" s="5"/>
      <c r="D40" s="5"/>
      <c r="E40" s="5"/>
      <c r="F40" s="5"/>
      <c r="G40" s="5"/>
      <c r="H40" s="5"/>
      <c r="I40" s="5"/>
      <c r="J40" s="7"/>
    </row>
    <row r="41" spans="1:10" x14ac:dyDescent="0.35">
      <c r="A41" s="2"/>
      <c r="B41" s="17"/>
      <c r="C41" s="4"/>
      <c r="D41" s="4"/>
      <c r="E41" s="4"/>
      <c r="F41" s="4"/>
      <c r="G41" s="4"/>
      <c r="H41" s="4"/>
      <c r="I41" s="4"/>
      <c r="J41" s="6"/>
    </row>
    <row r="42" spans="1:10" x14ac:dyDescent="0.35">
      <c r="A42" s="3"/>
      <c r="B42" s="18"/>
      <c r="C42" s="5"/>
      <c r="D42" s="5"/>
      <c r="E42" s="5"/>
      <c r="F42" s="5"/>
      <c r="G42" s="5"/>
      <c r="H42" s="5"/>
      <c r="I42" s="5"/>
      <c r="J42" s="7"/>
    </row>
    <row r="43" spans="1:10" x14ac:dyDescent="0.35">
      <c r="A43" s="2"/>
      <c r="B43" s="17"/>
      <c r="C43" s="4"/>
      <c r="D43" s="4"/>
      <c r="E43" s="4"/>
      <c r="F43" s="4"/>
      <c r="G43" s="4"/>
      <c r="H43" s="4"/>
      <c r="I43" s="4"/>
      <c r="J43" s="6"/>
    </row>
    <row r="44" spans="1:10" x14ac:dyDescent="0.35">
      <c r="A44" s="3"/>
      <c r="B44" s="18"/>
      <c r="C44" s="5"/>
      <c r="D44" s="5"/>
      <c r="E44" s="5"/>
      <c r="F44" s="5"/>
      <c r="G44" s="5"/>
      <c r="H44" s="5"/>
      <c r="I44" s="5"/>
      <c r="J44" s="7"/>
    </row>
    <row r="45" spans="1:10" x14ac:dyDescent="0.35">
      <c r="A45" s="2"/>
      <c r="B45" s="17"/>
      <c r="C45" s="4"/>
      <c r="D45" s="4"/>
      <c r="E45" s="4"/>
      <c r="F45" s="4"/>
      <c r="G45" s="4"/>
      <c r="H45" s="4"/>
      <c r="I45" s="4"/>
      <c r="J45" s="6"/>
    </row>
    <row r="46" spans="1:10" x14ac:dyDescent="0.35">
      <c r="A46" s="3"/>
      <c r="B46" s="18"/>
      <c r="C46" s="5"/>
      <c r="D46" s="5"/>
      <c r="E46" s="5"/>
      <c r="F46" s="5"/>
      <c r="G46" s="5"/>
      <c r="H46" s="5"/>
      <c r="I46" s="5"/>
      <c r="J46" s="7"/>
    </row>
    <row r="47" spans="1:10" x14ac:dyDescent="0.35">
      <c r="A47" s="16"/>
      <c r="B47" s="8" t="s">
        <v>15</v>
      </c>
      <c r="C47" s="8">
        <f>SUM(C35:C46)</f>
        <v>0</v>
      </c>
      <c r="D47" s="8">
        <f t="shared" ref="D47" si="9">SUM(D35:D46)</f>
        <v>0</v>
      </c>
      <c r="E47" s="8">
        <f t="shared" ref="E47" si="10">SUM(E35:E46)</f>
        <v>0</v>
      </c>
      <c r="F47" s="8">
        <f t="shared" ref="F47" si="11">SUM(F35:F46)</f>
        <v>0</v>
      </c>
      <c r="G47" s="8">
        <f t="shared" ref="G47" si="12">SUM(G35:G46)</f>
        <v>0</v>
      </c>
      <c r="H47" s="8">
        <f t="shared" ref="H47" si="13">SUM(H35:H46)</f>
        <v>0</v>
      </c>
      <c r="I47" s="8">
        <f t="shared" ref="I47" si="14">SUM(I35:I46)</f>
        <v>0</v>
      </c>
      <c r="J47" s="8">
        <f t="shared" ref="J47" si="15">SUM(J35:J46)</f>
        <v>0</v>
      </c>
    </row>
    <row r="48" spans="1:10" ht="3.5" customHeight="1" x14ac:dyDescent="0.35">
      <c r="A48" s="10"/>
      <c r="B48" s="12"/>
      <c r="C48" s="11"/>
      <c r="D48" s="12"/>
      <c r="E48" s="12"/>
      <c r="F48" s="11"/>
      <c r="G48" s="11"/>
      <c r="H48" s="11"/>
      <c r="I48" s="12"/>
      <c r="J48" s="12"/>
    </row>
    <row r="49" spans="1:10" x14ac:dyDescent="0.35">
      <c r="A49" s="9" t="s">
        <v>13</v>
      </c>
      <c r="B49" s="13" t="s">
        <v>9</v>
      </c>
      <c r="C49" s="14"/>
      <c r="D49" s="15"/>
      <c r="E49" s="15"/>
      <c r="F49" s="14"/>
      <c r="G49" s="14"/>
      <c r="H49" s="14"/>
      <c r="I49" s="15"/>
      <c r="J49" s="15"/>
    </row>
    <row r="50" spans="1:10" x14ac:dyDescent="0.35">
      <c r="A50" s="2"/>
      <c r="B50" s="17"/>
      <c r="C50" s="4"/>
      <c r="D50" s="4"/>
      <c r="E50" s="4"/>
      <c r="F50" s="4"/>
      <c r="G50" s="4"/>
      <c r="H50" s="4"/>
      <c r="I50" s="4"/>
      <c r="J50" s="6"/>
    </row>
    <row r="51" spans="1:10" x14ac:dyDescent="0.35">
      <c r="A51" s="3"/>
      <c r="B51" s="18"/>
      <c r="C51" s="5"/>
      <c r="D51" s="5"/>
      <c r="E51" s="5"/>
      <c r="F51" s="5"/>
      <c r="G51" s="5"/>
      <c r="H51" s="5"/>
      <c r="I51" s="5"/>
      <c r="J51" s="7"/>
    </row>
    <row r="52" spans="1:10" x14ac:dyDescent="0.35">
      <c r="A52" s="2"/>
      <c r="B52" s="17"/>
      <c r="C52" s="4"/>
      <c r="D52" s="4"/>
      <c r="E52" s="4"/>
      <c r="F52" s="4"/>
      <c r="G52" s="4"/>
      <c r="H52" s="4"/>
      <c r="I52" s="4"/>
      <c r="J52" s="6"/>
    </row>
    <row r="53" spans="1:10" x14ac:dyDescent="0.35">
      <c r="A53" s="3"/>
      <c r="B53" s="18"/>
      <c r="C53" s="5"/>
      <c r="D53" s="5"/>
      <c r="E53" s="5"/>
      <c r="F53" s="5"/>
      <c r="G53" s="5"/>
      <c r="H53" s="5"/>
      <c r="I53" s="5"/>
      <c r="J53" s="7"/>
    </row>
    <row r="54" spans="1:10" x14ac:dyDescent="0.35">
      <c r="A54" s="2"/>
      <c r="B54" s="17"/>
      <c r="C54" s="4"/>
      <c r="D54" s="4"/>
      <c r="E54" s="4"/>
      <c r="F54" s="4"/>
      <c r="G54" s="4"/>
      <c r="H54" s="4"/>
      <c r="I54" s="4"/>
      <c r="J54" s="6"/>
    </row>
    <row r="55" spans="1:10" x14ac:dyDescent="0.35">
      <c r="A55" s="3"/>
      <c r="B55" s="18"/>
      <c r="C55" s="5"/>
      <c r="D55" s="5"/>
      <c r="E55" s="5"/>
      <c r="F55" s="5"/>
      <c r="G55" s="5"/>
      <c r="H55" s="5"/>
      <c r="I55" s="5"/>
      <c r="J55" s="7"/>
    </row>
    <row r="56" spans="1:10" x14ac:dyDescent="0.35">
      <c r="A56" s="2"/>
      <c r="B56" s="17"/>
      <c r="C56" s="4"/>
      <c r="D56" s="4"/>
      <c r="E56" s="4"/>
      <c r="F56" s="4"/>
      <c r="G56" s="4"/>
      <c r="H56" s="4"/>
      <c r="I56" s="4"/>
      <c r="J56" s="6"/>
    </row>
    <row r="57" spans="1:10" x14ac:dyDescent="0.35">
      <c r="A57" s="3"/>
      <c r="B57" s="18"/>
      <c r="C57" s="5"/>
      <c r="D57" s="5"/>
      <c r="E57" s="5"/>
      <c r="F57" s="5"/>
      <c r="G57" s="5"/>
      <c r="H57" s="5"/>
      <c r="I57" s="5"/>
      <c r="J57" s="7"/>
    </row>
    <row r="58" spans="1:10" x14ac:dyDescent="0.35">
      <c r="A58" s="2"/>
      <c r="B58" s="17"/>
      <c r="C58" s="4"/>
      <c r="D58" s="4"/>
      <c r="E58" s="4"/>
      <c r="F58" s="4"/>
      <c r="G58" s="4"/>
      <c r="H58" s="4"/>
      <c r="I58" s="4"/>
      <c r="J58" s="6"/>
    </row>
    <row r="59" spans="1:10" x14ac:dyDescent="0.35">
      <c r="A59" s="3"/>
      <c r="B59" s="18"/>
      <c r="C59" s="5"/>
      <c r="D59" s="5"/>
      <c r="E59" s="5"/>
      <c r="F59" s="5"/>
      <c r="G59" s="5"/>
      <c r="H59" s="5"/>
      <c r="I59" s="5"/>
      <c r="J59" s="7"/>
    </row>
    <row r="60" spans="1:10" x14ac:dyDescent="0.35">
      <c r="A60" s="2"/>
      <c r="B60" s="17"/>
      <c r="C60" s="4"/>
      <c r="D60" s="4"/>
      <c r="E60" s="4"/>
      <c r="F60" s="4"/>
      <c r="G60" s="4"/>
      <c r="H60" s="4"/>
      <c r="I60" s="4"/>
      <c r="J60" s="6"/>
    </row>
    <row r="61" spans="1:10" x14ac:dyDescent="0.35">
      <c r="A61" s="3"/>
      <c r="B61" s="18"/>
      <c r="C61" s="5"/>
      <c r="D61" s="5"/>
      <c r="E61" s="5"/>
      <c r="F61" s="5"/>
      <c r="G61" s="5"/>
      <c r="H61" s="5"/>
      <c r="I61" s="5"/>
      <c r="J61" s="7"/>
    </row>
    <row r="62" spans="1:10" x14ac:dyDescent="0.35">
      <c r="A62" s="16"/>
      <c r="B62" s="8" t="s">
        <v>15</v>
      </c>
      <c r="C62" s="8">
        <f>SUM(C50:C61)</f>
        <v>0</v>
      </c>
      <c r="D62" s="8">
        <f t="shared" ref="D62" si="16">SUM(D50:D61)</f>
        <v>0</v>
      </c>
      <c r="E62" s="8">
        <f t="shared" ref="E62" si="17">SUM(E50:E61)</f>
        <v>0</v>
      </c>
      <c r="F62" s="8">
        <f t="shared" ref="F62" si="18">SUM(F50:F61)</f>
        <v>0</v>
      </c>
      <c r="G62" s="8">
        <f t="shared" ref="G62" si="19">SUM(G50:G61)</f>
        <v>0</v>
      </c>
      <c r="H62" s="8">
        <f t="shared" ref="H62" si="20">SUM(H50:H61)</f>
        <v>0</v>
      </c>
      <c r="I62" s="8">
        <f t="shared" ref="I62" si="21">SUM(I50:I61)</f>
        <v>0</v>
      </c>
      <c r="J62" s="8">
        <f t="shared" ref="J62" si="22">SUM(J50:J61)</f>
        <v>0</v>
      </c>
    </row>
    <row r="63" spans="1:10" ht="3.5" customHeight="1" x14ac:dyDescent="0.35">
      <c r="A63" s="10"/>
      <c r="B63" s="12"/>
      <c r="C63" s="11"/>
      <c r="D63" s="12"/>
      <c r="E63" s="12"/>
      <c r="F63" s="11"/>
      <c r="G63" s="11"/>
      <c r="H63" s="11"/>
      <c r="I63" s="12"/>
      <c r="J63" s="12"/>
    </row>
    <row r="64" spans="1:10" x14ac:dyDescent="0.35">
      <c r="A64" s="9" t="s">
        <v>14</v>
      </c>
      <c r="B64" s="13" t="s">
        <v>9</v>
      </c>
      <c r="C64" s="14"/>
      <c r="D64" s="15"/>
      <c r="E64" s="15"/>
      <c r="F64" s="14"/>
      <c r="G64" s="14"/>
      <c r="H64" s="14"/>
      <c r="I64" s="15"/>
      <c r="J64" s="15"/>
    </row>
    <row r="65" spans="1:10" x14ac:dyDescent="0.35">
      <c r="A65" s="2"/>
      <c r="B65" s="17"/>
      <c r="C65" s="4"/>
      <c r="D65" s="4"/>
      <c r="E65" s="4"/>
      <c r="F65" s="4"/>
      <c r="G65" s="4"/>
      <c r="H65" s="4"/>
      <c r="I65" s="4"/>
      <c r="J65" s="6"/>
    </row>
    <row r="66" spans="1:10" x14ac:dyDescent="0.35">
      <c r="A66" s="3"/>
      <c r="B66" s="18"/>
      <c r="C66" s="5"/>
      <c r="D66" s="5"/>
      <c r="E66" s="5"/>
      <c r="F66" s="5"/>
      <c r="G66" s="5"/>
      <c r="H66" s="5"/>
      <c r="I66" s="5"/>
      <c r="J66" s="7"/>
    </row>
    <row r="67" spans="1:10" x14ac:dyDescent="0.35">
      <c r="A67" s="2"/>
      <c r="B67" s="17"/>
      <c r="C67" s="4"/>
      <c r="D67" s="4"/>
      <c r="E67" s="4"/>
      <c r="F67" s="4"/>
      <c r="G67" s="4"/>
      <c r="H67" s="4"/>
      <c r="I67" s="4"/>
      <c r="J67" s="6"/>
    </row>
    <row r="68" spans="1:10" x14ac:dyDescent="0.35">
      <c r="A68" s="3"/>
      <c r="B68" s="18"/>
      <c r="C68" s="5"/>
      <c r="D68" s="5"/>
      <c r="E68" s="5"/>
      <c r="F68" s="5"/>
      <c r="G68" s="5"/>
      <c r="H68" s="5"/>
      <c r="I68" s="5"/>
      <c r="J68" s="7"/>
    </row>
    <row r="69" spans="1:10" x14ac:dyDescent="0.35">
      <c r="A69" s="2"/>
      <c r="B69" s="17"/>
      <c r="C69" s="4"/>
      <c r="D69" s="4"/>
      <c r="E69" s="4"/>
      <c r="F69" s="4"/>
      <c r="G69" s="4"/>
      <c r="H69" s="4"/>
      <c r="I69" s="4"/>
      <c r="J69" s="6"/>
    </row>
    <row r="70" spans="1:10" x14ac:dyDescent="0.35">
      <c r="A70" s="3"/>
      <c r="B70" s="18"/>
      <c r="C70" s="5"/>
      <c r="D70" s="5"/>
      <c r="E70" s="5"/>
      <c r="F70" s="5"/>
      <c r="G70" s="5"/>
      <c r="H70" s="5"/>
      <c r="I70" s="5"/>
      <c r="J70" s="7"/>
    </row>
    <row r="71" spans="1:10" x14ac:dyDescent="0.35">
      <c r="A71" s="2"/>
      <c r="B71" s="17"/>
      <c r="C71" s="4"/>
      <c r="D71" s="4"/>
      <c r="E71" s="4"/>
      <c r="F71" s="4"/>
      <c r="G71" s="4"/>
      <c r="H71" s="4"/>
      <c r="I71" s="4"/>
      <c r="J71" s="6"/>
    </row>
    <row r="72" spans="1:10" x14ac:dyDescent="0.35">
      <c r="A72" s="3"/>
      <c r="B72" s="18"/>
      <c r="C72" s="5"/>
      <c r="D72" s="5"/>
      <c r="E72" s="5"/>
      <c r="F72" s="5"/>
      <c r="G72" s="5"/>
      <c r="H72" s="5"/>
      <c r="I72" s="5"/>
      <c r="J72" s="7"/>
    </row>
    <row r="73" spans="1:10" x14ac:dyDescent="0.35">
      <c r="A73" s="2"/>
      <c r="B73" s="17"/>
      <c r="C73" s="4"/>
      <c r="D73" s="4"/>
      <c r="E73" s="4"/>
      <c r="F73" s="4"/>
      <c r="G73" s="4"/>
      <c r="H73" s="4"/>
      <c r="I73" s="4"/>
      <c r="J73" s="6"/>
    </row>
    <row r="74" spans="1:10" x14ac:dyDescent="0.35">
      <c r="A74" s="3"/>
      <c r="B74" s="18"/>
      <c r="C74" s="5"/>
      <c r="D74" s="5"/>
      <c r="E74" s="5"/>
      <c r="F74" s="5"/>
      <c r="G74" s="5"/>
      <c r="H74" s="5"/>
      <c r="I74" s="5"/>
      <c r="J74" s="7"/>
    </row>
    <row r="75" spans="1:10" x14ac:dyDescent="0.35">
      <c r="A75" s="2"/>
      <c r="B75" s="17"/>
      <c r="C75" s="4"/>
      <c r="D75" s="4"/>
      <c r="E75" s="4"/>
      <c r="F75" s="4"/>
      <c r="G75" s="4"/>
      <c r="H75" s="4"/>
      <c r="I75" s="4"/>
      <c r="J75" s="6"/>
    </row>
    <row r="76" spans="1:10" x14ac:dyDescent="0.35">
      <c r="A76" s="3"/>
      <c r="B76" s="18"/>
      <c r="C76" s="5"/>
      <c r="D76" s="5"/>
      <c r="E76" s="5"/>
      <c r="F76" s="5"/>
      <c r="G76" s="5"/>
      <c r="H76" s="5"/>
      <c r="I76" s="5"/>
      <c r="J76" s="7"/>
    </row>
    <row r="77" spans="1:10" x14ac:dyDescent="0.35">
      <c r="A77" s="16"/>
      <c r="B77" s="8" t="s">
        <v>15</v>
      </c>
      <c r="C77" s="8">
        <f>SUM(C65:C76)</f>
        <v>0</v>
      </c>
      <c r="D77" s="8">
        <f t="shared" ref="D77" si="23">SUM(D65:D76)</f>
        <v>0</v>
      </c>
      <c r="E77" s="8">
        <f t="shared" ref="E77" si="24">SUM(E65:E76)</f>
        <v>0</v>
      </c>
      <c r="F77" s="8">
        <f t="shared" ref="F77" si="25">SUM(F65:F76)</f>
        <v>0</v>
      </c>
      <c r="G77" s="8">
        <f t="shared" ref="G77" si="26">SUM(G65:G76)</f>
        <v>0</v>
      </c>
      <c r="H77" s="8">
        <f t="shared" ref="H77" si="27">SUM(H65:H76)</f>
        <v>0</v>
      </c>
      <c r="I77" s="8">
        <f t="shared" ref="I77" si="28">SUM(I65:I76)</f>
        <v>0</v>
      </c>
      <c r="J77" s="8">
        <f t="shared" ref="J77" si="29">SUM(J65:J76)</f>
        <v>0</v>
      </c>
    </row>
    <row r="78" spans="1:10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</row>
    <row r="79" spans="1:10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</row>
    <row r="80" spans="1:10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</row>
    <row r="81" spans="1:10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</row>
    <row r="82" spans="1:10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</row>
    <row r="83" spans="1:10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</row>
    <row r="84" spans="1:10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</row>
    <row r="85" spans="1:10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</row>
    <row r="86" spans="1:10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</row>
    <row r="87" spans="1:10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</row>
    <row r="88" spans="1:10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</row>
    <row r="89" spans="1:10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</row>
    <row r="90" spans="1:10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</row>
    <row r="91" spans="1:10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</row>
    <row r="92" spans="1:10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</row>
    <row r="93" spans="1:10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</row>
    <row r="94" spans="1:10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</row>
    <row r="95" spans="1:10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</row>
    <row r="96" spans="1:10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</row>
    <row r="97" spans="1:10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</row>
    <row r="98" spans="1:10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</row>
    <row r="99" spans="1:10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</row>
    <row r="100" spans="1:10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</row>
    <row r="101" spans="1:10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</row>
    <row r="102" spans="1:10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</row>
    <row r="103" spans="1:10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</row>
    <row r="104" spans="1:10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</row>
    <row r="105" spans="1:10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</row>
    <row r="106" spans="1:10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</row>
    <row r="107" spans="1:10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</row>
    <row r="108" spans="1:10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</row>
    <row r="109" spans="1:10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</row>
    <row r="110" spans="1:10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</row>
    <row r="111" spans="1:10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</row>
    <row r="112" spans="1:10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</row>
    <row r="113" spans="1:10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</row>
    <row r="114" spans="1:10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</row>
    <row r="115" spans="1:10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</row>
    <row r="116" spans="1:10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</row>
    <row r="117" spans="1:10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</row>
    <row r="118" spans="1:10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</row>
    <row r="119" spans="1:10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</row>
    <row r="120" spans="1:10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</row>
    <row r="121" spans="1:10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</row>
    <row r="122" spans="1:10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</row>
    <row r="123" spans="1:10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</row>
    <row r="124" spans="1:10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</row>
    <row r="125" spans="1:10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</row>
    <row r="126" spans="1:10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</row>
    <row r="127" spans="1:10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</row>
    <row r="128" spans="1:10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</row>
    <row r="129" spans="1:10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</row>
    <row r="130" spans="1:10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</row>
    <row r="131" spans="1:10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</row>
    <row r="132" spans="1:10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</row>
    <row r="133" spans="1:10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</row>
    <row r="134" spans="1:10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</row>
    <row r="135" spans="1:10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</row>
    <row r="136" spans="1:10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</row>
    <row r="137" spans="1:10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</row>
    <row r="138" spans="1:10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</row>
    <row r="139" spans="1:10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</row>
    <row r="140" spans="1:10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</row>
    <row r="141" spans="1:10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</row>
    <row r="142" spans="1:10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</row>
    <row r="143" spans="1:10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</row>
    <row r="144" spans="1:10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</row>
    <row r="145" spans="1:10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</row>
    <row r="146" spans="1:10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</row>
    <row r="147" spans="1:10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</row>
    <row r="148" spans="1:10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</row>
    <row r="149" spans="1:10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</row>
    <row r="150" spans="1:10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</row>
    <row r="151" spans="1:10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</row>
    <row r="152" spans="1:10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</row>
    <row r="153" spans="1:10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</row>
    <row r="154" spans="1:10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</row>
    <row r="155" spans="1:10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</row>
    <row r="156" spans="1:10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</row>
    <row r="157" spans="1:10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</row>
    <row r="158" spans="1:10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</row>
    <row r="159" spans="1:10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</row>
    <row r="160" spans="1:10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</row>
    <row r="161" spans="1:10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</row>
    <row r="162" spans="1:10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</row>
    <row r="163" spans="1:10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</row>
    <row r="164" spans="1:10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</row>
    <row r="165" spans="1:10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</row>
    <row r="166" spans="1:10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</row>
    <row r="167" spans="1:10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</row>
    <row r="168" spans="1:10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</row>
    <row r="169" spans="1:10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</row>
    <row r="170" spans="1:10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</row>
    <row r="171" spans="1:10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</row>
    <row r="172" spans="1:10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</row>
    <row r="173" spans="1:10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</row>
    <row r="174" spans="1:10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</row>
    <row r="175" spans="1:10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</row>
    <row r="176" spans="1:10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</row>
    <row r="177" spans="1:10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</row>
    <row r="178" spans="1:10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</row>
    <row r="179" spans="1:10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</row>
    <row r="180" spans="1:10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</row>
    <row r="181" spans="1:10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</row>
    <row r="182" spans="1:10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</row>
    <row r="183" spans="1:10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</row>
    <row r="184" spans="1:10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</row>
    <row r="185" spans="1:10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</row>
    <row r="186" spans="1:10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</row>
    <row r="187" spans="1:10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</row>
    <row r="188" spans="1:10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</row>
    <row r="189" spans="1:10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</row>
    <row r="190" spans="1:10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</row>
    <row r="191" spans="1:10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</row>
    <row r="192" spans="1:10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</row>
    <row r="193" spans="1:10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</row>
    <row r="194" spans="1:10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</row>
    <row r="195" spans="1:10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</row>
    <row r="196" spans="1:10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</row>
    <row r="197" spans="1:10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</row>
    <row r="198" spans="1:10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</row>
    <row r="199" spans="1:10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</row>
    <row r="200" spans="1:10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</row>
    <row r="201" spans="1:10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</row>
    <row r="202" spans="1:10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</row>
    <row r="203" spans="1:10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</row>
    <row r="204" spans="1:10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</row>
    <row r="205" spans="1:10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</row>
    <row r="206" spans="1:10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</row>
    <row r="207" spans="1:10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</row>
    <row r="208" spans="1:10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</row>
    <row r="209" spans="1:10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</row>
    <row r="210" spans="1:10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</row>
    <row r="211" spans="1:10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</row>
    <row r="212" spans="1:10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</row>
    <row r="213" spans="1:10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</row>
    <row r="214" spans="1:10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</row>
    <row r="215" spans="1:10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</row>
    <row r="216" spans="1:10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</row>
    <row r="217" spans="1:10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</row>
    <row r="218" spans="1:10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</row>
    <row r="219" spans="1:10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</row>
    <row r="220" spans="1:10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</row>
    <row r="221" spans="1:10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</row>
    <row r="222" spans="1:10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</row>
    <row r="223" spans="1:10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</row>
    <row r="224" spans="1:10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</row>
    <row r="225" spans="1:10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</row>
    <row r="226" spans="1:10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B022B-1466-4CAE-95F2-25B182A66324}">
  <sheetPr codeName="Sheet2"/>
  <dimension ref="A1:D1"/>
  <sheetViews>
    <sheetView workbookViewId="0">
      <selection activeCell="E3" sqref="E3"/>
    </sheetView>
  </sheetViews>
  <sheetFormatPr defaultRowHeight="14.5" x14ac:dyDescent="0.35"/>
  <cols>
    <col min="1" max="1" width="13.54296875" customWidth="1"/>
    <col min="2" max="2" width="14.453125" customWidth="1"/>
    <col min="3" max="3" width="12.6328125" customWidth="1"/>
    <col min="4" max="4" width="12.81640625" customWidth="1"/>
    <col min="5" max="12" width="11" customWidth="1"/>
  </cols>
  <sheetData>
    <row r="1" spans="1:4" x14ac:dyDescent="0.35">
      <c r="A1" t="s">
        <v>16</v>
      </c>
      <c r="B1" t="s">
        <v>19</v>
      </c>
      <c r="C1" t="s">
        <v>20</v>
      </c>
      <c r="D1" t="s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9342B-4D50-4DD3-8CBD-9BACC748C090}">
  <sheetPr codeName="Sheet3"/>
  <dimension ref="A1:AF13"/>
  <sheetViews>
    <sheetView topLeftCell="A2" zoomScale="75" zoomScaleNormal="110" workbookViewId="0">
      <selection activeCell="H14" sqref="H14"/>
    </sheetView>
  </sheetViews>
  <sheetFormatPr defaultRowHeight="14.5" x14ac:dyDescent="0.35"/>
  <sheetData>
    <row r="1" spans="1:32" x14ac:dyDescent="0.35">
      <c r="A1" t="s">
        <v>67</v>
      </c>
      <c r="B1" s="30" t="s">
        <v>22</v>
      </c>
      <c r="C1" s="30" t="s">
        <v>23</v>
      </c>
      <c r="D1" s="30" t="s">
        <v>24</v>
      </c>
      <c r="E1" s="30" t="s">
        <v>25</v>
      </c>
      <c r="F1" s="30" t="s">
        <v>26</v>
      </c>
      <c r="G1" s="30" t="s">
        <v>27</v>
      </c>
      <c r="H1" s="30" t="s">
        <v>28</v>
      </c>
      <c r="I1" s="30" t="s">
        <v>29</v>
      </c>
      <c r="J1" s="30" t="s">
        <v>30</v>
      </c>
      <c r="K1" s="30" t="s">
        <v>31</v>
      </c>
      <c r="L1" s="30" t="s">
        <v>32</v>
      </c>
      <c r="M1" s="30" t="s">
        <v>33</v>
      </c>
      <c r="N1" s="30" t="s">
        <v>34</v>
      </c>
      <c r="O1" s="30" t="s">
        <v>35</v>
      </c>
      <c r="P1" s="30" t="s">
        <v>36</v>
      </c>
      <c r="Q1" s="30" t="s">
        <v>37</v>
      </c>
      <c r="R1" s="30" t="s">
        <v>38</v>
      </c>
      <c r="S1" s="30" t="s">
        <v>39</v>
      </c>
      <c r="T1" s="30" t="s">
        <v>40</v>
      </c>
      <c r="U1" s="30" t="s">
        <v>41</v>
      </c>
      <c r="V1" s="30" t="s">
        <v>42</v>
      </c>
      <c r="W1" s="30" t="s">
        <v>43</v>
      </c>
      <c r="X1" s="30" t="s">
        <v>44</v>
      </c>
      <c r="Y1" s="30" t="s">
        <v>45</v>
      </c>
      <c r="Z1" s="30" t="s">
        <v>46</v>
      </c>
      <c r="AA1" s="30" t="s">
        <v>47</v>
      </c>
      <c r="AB1" s="30" t="s">
        <v>48</v>
      </c>
      <c r="AC1" s="30" t="s">
        <v>50</v>
      </c>
      <c r="AD1" s="30" t="s">
        <v>51</v>
      </c>
      <c r="AE1" t="s">
        <v>52</v>
      </c>
      <c r="AF1" t="s">
        <v>84</v>
      </c>
    </row>
    <row r="2" spans="1:32" x14ac:dyDescent="0.35">
      <c r="A2">
        <v>0</v>
      </c>
      <c r="B2" s="30" t="s">
        <v>56</v>
      </c>
      <c r="C2" s="30" t="s">
        <v>53</v>
      </c>
      <c r="D2" s="30" t="s">
        <v>54</v>
      </c>
      <c r="E2" s="30" t="s">
        <v>57</v>
      </c>
      <c r="F2" s="30">
        <v>0.5</v>
      </c>
      <c r="G2" s="30" t="s">
        <v>58</v>
      </c>
      <c r="H2" s="30" t="s">
        <v>55</v>
      </c>
      <c r="I2" s="30">
        <v>1</v>
      </c>
      <c r="J2" s="30">
        <v>2</v>
      </c>
      <c r="K2" s="30" t="s">
        <v>59</v>
      </c>
      <c r="L2" s="30" t="s">
        <v>49</v>
      </c>
      <c r="M2" s="30">
        <v>40</v>
      </c>
      <c r="N2" s="30">
        <v>5</v>
      </c>
      <c r="O2" s="30">
        <v>3</v>
      </c>
      <c r="P2" s="30">
        <v>27</v>
      </c>
      <c r="Q2" s="30">
        <v>150</v>
      </c>
      <c r="R2" s="30">
        <v>1</v>
      </c>
      <c r="S2" s="30">
        <v>4</v>
      </c>
      <c r="T2" s="30">
        <v>20.02</v>
      </c>
      <c r="U2" s="30">
        <v>1.4994000000000001</v>
      </c>
      <c r="V2" s="30">
        <v>150</v>
      </c>
      <c r="W2" s="30">
        <v>0</v>
      </c>
      <c r="X2" s="30">
        <v>0</v>
      </c>
      <c r="Y2" s="30">
        <v>0</v>
      </c>
      <c r="Z2" s="30">
        <v>0</v>
      </c>
      <c r="AA2" s="30">
        <v>0</v>
      </c>
      <c r="AB2" s="30">
        <v>0.5</v>
      </c>
      <c r="AC2" s="30">
        <v>1</v>
      </c>
      <c r="AD2" s="30">
        <v>1</v>
      </c>
      <c r="AE2">
        <v>0</v>
      </c>
      <c r="AF2" t="s">
        <v>68</v>
      </c>
    </row>
    <row r="3" spans="1:32" x14ac:dyDescent="0.35">
      <c r="A3">
        <v>1</v>
      </c>
      <c r="B3" s="30" t="s">
        <v>60</v>
      </c>
      <c r="C3" s="30" t="s">
        <v>61</v>
      </c>
      <c r="D3" s="30" t="s">
        <v>62</v>
      </c>
      <c r="E3" s="30" t="s">
        <v>63</v>
      </c>
      <c r="F3" s="30">
        <v>0.75</v>
      </c>
      <c r="G3" s="30" t="s">
        <v>64</v>
      </c>
      <c r="H3" s="30" t="s">
        <v>65</v>
      </c>
      <c r="I3" s="30">
        <v>1</v>
      </c>
      <c r="J3" s="30">
        <v>2</v>
      </c>
      <c r="K3" s="30" t="s">
        <v>66</v>
      </c>
      <c r="L3" s="30" t="s">
        <v>49</v>
      </c>
      <c r="M3" s="30">
        <v>170</v>
      </c>
      <c r="N3" s="30">
        <v>17</v>
      </c>
      <c r="O3" s="30">
        <v>0</v>
      </c>
      <c r="P3" s="30">
        <v>11</v>
      </c>
      <c r="Q3" s="30">
        <v>110</v>
      </c>
      <c r="R3" s="30">
        <v>6</v>
      </c>
      <c r="S3" s="30">
        <v>3</v>
      </c>
      <c r="T3" s="30">
        <v>170.04</v>
      </c>
      <c r="U3" s="30">
        <v>0</v>
      </c>
      <c r="V3" s="30">
        <v>230</v>
      </c>
      <c r="W3" s="30">
        <v>75</v>
      </c>
      <c r="X3" s="30" t="s">
        <v>68</v>
      </c>
      <c r="Y3" s="30">
        <v>0</v>
      </c>
      <c r="Z3" s="30">
        <v>5</v>
      </c>
      <c r="AA3" s="30">
        <v>0</v>
      </c>
      <c r="AB3" s="30">
        <v>0</v>
      </c>
      <c r="AC3" s="30" t="s">
        <v>68</v>
      </c>
      <c r="AD3" s="30" t="s">
        <v>68</v>
      </c>
      <c r="AE3" t="s">
        <v>68</v>
      </c>
      <c r="AF3" t="s">
        <v>68</v>
      </c>
    </row>
    <row r="4" spans="1:32" x14ac:dyDescent="0.35">
      <c r="A4">
        <v>2</v>
      </c>
      <c r="B4" t="s">
        <v>72</v>
      </c>
      <c r="C4" t="s">
        <v>69</v>
      </c>
      <c r="D4" t="s">
        <v>70</v>
      </c>
      <c r="E4" t="s">
        <v>73</v>
      </c>
      <c r="F4">
        <v>28</v>
      </c>
      <c r="G4" t="s">
        <v>74</v>
      </c>
      <c r="H4" t="s">
        <v>71</v>
      </c>
      <c r="I4">
        <v>1</v>
      </c>
      <c r="J4">
        <v>2</v>
      </c>
      <c r="K4" t="s">
        <v>75</v>
      </c>
      <c r="L4" t="s">
        <v>49</v>
      </c>
      <c r="M4">
        <v>28</v>
      </c>
      <c r="N4">
        <v>6</v>
      </c>
      <c r="O4">
        <v>16</v>
      </c>
      <c r="P4">
        <v>5</v>
      </c>
      <c r="Q4">
        <v>170</v>
      </c>
      <c r="R4">
        <v>1</v>
      </c>
      <c r="S4">
        <v>3</v>
      </c>
      <c r="T4">
        <v>79.95</v>
      </c>
      <c r="U4">
        <v>10.9998</v>
      </c>
      <c r="V4">
        <v>190</v>
      </c>
      <c r="W4">
        <v>40</v>
      </c>
      <c r="X4">
        <v>0</v>
      </c>
      <c r="Y4">
        <v>0</v>
      </c>
      <c r="Z4">
        <v>0</v>
      </c>
      <c r="AA4">
        <v>0</v>
      </c>
      <c r="AB4">
        <v>1</v>
      </c>
      <c r="AC4">
        <v>10</v>
      </c>
      <c r="AD4">
        <v>4</v>
      </c>
      <c r="AE4" t="s">
        <v>82</v>
      </c>
      <c r="AF4" t="s">
        <v>68</v>
      </c>
    </row>
    <row r="5" spans="1:32" x14ac:dyDescent="0.35">
      <c r="A5">
        <v>3</v>
      </c>
      <c r="B5" t="s">
        <v>76</v>
      </c>
      <c r="C5" t="s">
        <v>61</v>
      </c>
      <c r="D5" t="s">
        <v>77</v>
      </c>
      <c r="E5" t="s">
        <v>78</v>
      </c>
      <c r="F5">
        <v>1</v>
      </c>
      <c r="G5" t="s">
        <v>79</v>
      </c>
      <c r="H5" t="s">
        <v>80</v>
      </c>
      <c r="I5">
        <v>1</v>
      </c>
      <c r="J5">
        <v>2</v>
      </c>
      <c r="K5" t="s">
        <v>81</v>
      </c>
      <c r="L5" t="s">
        <v>49</v>
      </c>
      <c r="M5">
        <v>240</v>
      </c>
      <c r="N5">
        <v>8</v>
      </c>
      <c r="O5">
        <v>5</v>
      </c>
      <c r="P5">
        <v>13</v>
      </c>
      <c r="Q5">
        <v>120</v>
      </c>
      <c r="R5">
        <v>13</v>
      </c>
      <c r="S5">
        <v>0</v>
      </c>
      <c r="T5">
        <v>24.96</v>
      </c>
      <c r="U5">
        <v>0</v>
      </c>
      <c r="V5">
        <v>8</v>
      </c>
      <c r="W5">
        <v>115</v>
      </c>
      <c r="X5">
        <v>600</v>
      </c>
      <c r="Y5">
        <v>0</v>
      </c>
      <c r="Z5">
        <v>20</v>
      </c>
      <c r="AA5">
        <v>0</v>
      </c>
      <c r="AB5">
        <v>3</v>
      </c>
      <c r="AC5" t="s">
        <v>82</v>
      </c>
      <c r="AD5" t="s">
        <v>82</v>
      </c>
      <c r="AE5" t="s">
        <v>82</v>
      </c>
      <c r="AF5" t="s">
        <v>68</v>
      </c>
    </row>
    <row r="6" spans="1:32" x14ac:dyDescent="0.35">
      <c r="A6">
        <v>4</v>
      </c>
      <c r="B6" t="s">
        <v>85</v>
      </c>
      <c r="C6" t="s">
        <v>61</v>
      </c>
      <c r="D6" t="s">
        <v>86</v>
      </c>
      <c r="E6" t="s">
        <v>87</v>
      </c>
      <c r="F6">
        <v>0.5</v>
      </c>
      <c r="G6" t="s">
        <v>88</v>
      </c>
      <c r="H6" t="s">
        <v>89</v>
      </c>
      <c r="I6">
        <v>1</v>
      </c>
      <c r="J6">
        <v>2</v>
      </c>
      <c r="K6" t="s">
        <v>90</v>
      </c>
      <c r="L6" t="s">
        <v>49</v>
      </c>
      <c r="M6">
        <v>122</v>
      </c>
      <c r="N6">
        <v>1</v>
      </c>
      <c r="O6">
        <v>0.5</v>
      </c>
      <c r="P6">
        <v>10</v>
      </c>
      <c r="Q6">
        <v>50</v>
      </c>
      <c r="R6">
        <v>5</v>
      </c>
      <c r="S6">
        <v>3</v>
      </c>
      <c r="T6">
        <v>26</v>
      </c>
      <c r="U6">
        <v>1.08</v>
      </c>
      <c r="V6" t="s">
        <v>68</v>
      </c>
      <c r="W6">
        <v>5</v>
      </c>
      <c r="X6" t="s">
        <v>82</v>
      </c>
      <c r="Y6" t="s">
        <v>68</v>
      </c>
      <c r="Z6">
        <v>0</v>
      </c>
      <c r="AA6">
        <v>0</v>
      </c>
      <c r="AB6">
        <v>0</v>
      </c>
      <c r="AC6">
        <v>0</v>
      </c>
      <c r="AD6">
        <v>0</v>
      </c>
      <c r="AE6">
        <v>12500</v>
      </c>
      <c r="AF6">
        <v>2.4</v>
      </c>
    </row>
    <row r="7" spans="1:32" x14ac:dyDescent="0.35">
      <c r="A7">
        <v>5</v>
      </c>
      <c r="B7" t="s">
        <v>91</v>
      </c>
      <c r="C7" t="s">
        <v>92</v>
      </c>
      <c r="D7" t="s">
        <v>77</v>
      </c>
      <c r="E7" t="s">
        <v>93</v>
      </c>
      <c r="F7">
        <v>1</v>
      </c>
      <c r="G7" t="s">
        <v>83</v>
      </c>
      <c r="H7" t="s">
        <v>80</v>
      </c>
      <c r="I7">
        <v>1</v>
      </c>
      <c r="J7">
        <v>2</v>
      </c>
      <c r="K7" t="s">
        <v>94</v>
      </c>
      <c r="L7" t="s">
        <v>49</v>
      </c>
      <c r="M7">
        <v>50</v>
      </c>
      <c r="N7">
        <v>6</v>
      </c>
      <c r="O7">
        <v>5</v>
      </c>
      <c r="P7">
        <v>0</v>
      </c>
      <c r="Q7">
        <v>70</v>
      </c>
      <c r="R7">
        <v>0</v>
      </c>
      <c r="S7">
        <v>0</v>
      </c>
      <c r="T7">
        <v>27.95</v>
      </c>
      <c r="U7">
        <v>1.0007999999999999</v>
      </c>
      <c r="V7">
        <v>69</v>
      </c>
      <c r="W7">
        <v>70</v>
      </c>
      <c r="X7">
        <v>40</v>
      </c>
      <c r="Y7">
        <v>0</v>
      </c>
      <c r="Z7">
        <v>185</v>
      </c>
      <c r="AA7">
        <v>0</v>
      </c>
      <c r="AB7">
        <v>1.5</v>
      </c>
      <c r="AC7" t="s">
        <v>82</v>
      </c>
      <c r="AD7" t="s">
        <v>82</v>
      </c>
      <c r="AE7" t="s">
        <v>82</v>
      </c>
      <c r="AF7" t="s">
        <v>82</v>
      </c>
    </row>
    <row r="8" spans="1:32" x14ac:dyDescent="0.35">
      <c r="A8">
        <v>6</v>
      </c>
      <c r="B8" t="s">
        <v>95</v>
      </c>
      <c r="C8" t="s">
        <v>96</v>
      </c>
      <c r="D8" t="s">
        <v>97</v>
      </c>
      <c r="E8" t="s">
        <v>98</v>
      </c>
      <c r="F8">
        <v>3</v>
      </c>
      <c r="G8" t="s">
        <v>99</v>
      </c>
      <c r="H8" t="s">
        <v>100</v>
      </c>
      <c r="I8">
        <v>1</v>
      </c>
      <c r="J8">
        <v>2</v>
      </c>
      <c r="K8" t="s">
        <v>101</v>
      </c>
      <c r="L8" t="s">
        <v>49</v>
      </c>
      <c r="M8">
        <v>46</v>
      </c>
      <c r="N8">
        <v>5</v>
      </c>
      <c r="O8">
        <v>0</v>
      </c>
      <c r="P8">
        <v>0</v>
      </c>
      <c r="Q8">
        <v>25</v>
      </c>
      <c r="R8">
        <v>0</v>
      </c>
      <c r="S8">
        <v>0</v>
      </c>
      <c r="T8">
        <v>0</v>
      </c>
      <c r="U8">
        <v>0</v>
      </c>
      <c r="V8">
        <v>70</v>
      </c>
      <c r="W8">
        <v>75</v>
      </c>
      <c r="X8">
        <v>0</v>
      </c>
      <c r="Y8">
        <v>0</v>
      </c>
      <c r="Z8">
        <v>0</v>
      </c>
      <c r="AA8">
        <v>0</v>
      </c>
      <c r="AB8">
        <v>0</v>
      </c>
      <c r="AC8" t="s">
        <v>82</v>
      </c>
      <c r="AD8" t="s">
        <v>82</v>
      </c>
      <c r="AE8" t="s">
        <v>82</v>
      </c>
      <c r="AF8" t="s">
        <v>82</v>
      </c>
    </row>
    <row r="9" spans="1:32" x14ac:dyDescent="0.35">
      <c r="A9">
        <v>7</v>
      </c>
      <c r="B9" t="s">
        <v>102</v>
      </c>
      <c r="C9" t="s">
        <v>61</v>
      </c>
      <c r="D9" t="s">
        <v>103</v>
      </c>
      <c r="E9" t="s">
        <v>104</v>
      </c>
      <c r="F9">
        <v>1.5</v>
      </c>
      <c r="G9" t="s">
        <v>105</v>
      </c>
      <c r="H9" t="s">
        <v>106</v>
      </c>
      <c r="I9">
        <v>1</v>
      </c>
      <c r="J9">
        <v>2</v>
      </c>
      <c r="K9" t="s">
        <v>107</v>
      </c>
      <c r="L9" t="s">
        <v>49</v>
      </c>
      <c r="M9">
        <v>40</v>
      </c>
      <c r="N9">
        <v>3</v>
      </c>
      <c r="O9">
        <v>0</v>
      </c>
      <c r="P9">
        <v>36</v>
      </c>
      <c r="Q9">
        <v>150</v>
      </c>
      <c r="R9">
        <v>4</v>
      </c>
      <c r="S9">
        <v>0</v>
      </c>
      <c r="T9">
        <v>0</v>
      </c>
      <c r="U9">
        <v>11.1996</v>
      </c>
      <c r="V9">
        <v>30</v>
      </c>
      <c r="W9">
        <v>200</v>
      </c>
      <c r="X9">
        <v>120</v>
      </c>
      <c r="Y9">
        <v>4</v>
      </c>
      <c r="Z9">
        <v>0</v>
      </c>
      <c r="AA9">
        <v>0</v>
      </c>
      <c r="AB9">
        <v>0</v>
      </c>
      <c r="AC9">
        <v>0</v>
      </c>
      <c r="AD9">
        <v>0</v>
      </c>
      <c r="AE9" t="s">
        <v>82</v>
      </c>
      <c r="AF9" t="s">
        <v>82</v>
      </c>
    </row>
    <row r="10" spans="1:32" x14ac:dyDescent="0.35">
      <c r="A10">
        <v>8</v>
      </c>
      <c r="B10" t="s">
        <v>108</v>
      </c>
      <c r="C10" t="s">
        <v>109</v>
      </c>
      <c r="D10" t="s">
        <v>110</v>
      </c>
      <c r="E10" t="s">
        <v>111</v>
      </c>
      <c r="F10">
        <v>1</v>
      </c>
      <c r="G10" t="s">
        <v>112</v>
      </c>
      <c r="H10" t="s">
        <v>113</v>
      </c>
      <c r="I10">
        <v>1</v>
      </c>
      <c r="J10">
        <v>2</v>
      </c>
      <c r="K10" t="s">
        <v>114</v>
      </c>
      <c r="L10" t="s">
        <v>49</v>
      </c>
      <c r="M10">
        <v>28</v>
      </c>
      <c r="N10">
        <v>3</v>
      </c>
      <c r="O10">
        <v>1</v>
      </c>
      <c r="P10">
        <v>13</v>
      </c>
      <c r="Q10">
        <v>70</v>
      </c>
      <c r="R10">
        <v>1</v>
      </c>
      <c r="S10">
        <v>0.5</v>
      </c>
      <c r="T10">
        <v>78</v>
      </c>
      <c r="U10">
        <v>1.08</v>
      </c>
      <c r="V10" t="s">
        <v>82</v>
      </c>
      <c r="W10">
        <v>105</v>
      </c>
      <c r="X10" t="s">
        <v>82</v>
      </c>
      <c r="Y10" t="s">
        <v>82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</row>
    <row r="11" spans="1:32" x14ac:dyDescent="0.35">
      <c r="A11">
        <v>9</v>
      </c>
      <c r="B11" t="s">
        <v>115</v>
      </c>
      <c r="C11" t="s">
        <v>116</v>
      </c>
      <c r="D11" t="s">
        <v>117</v>
      </c>
      <c r="E11" t="s">
        <v>118</v>
      </c>
      <c r="F11">
        <v>1</v>
      </c>
      <c r="G11" t="s">
        <v>119</v>
      </c>
      <c r="H11" t="s">
        <v>120</v>
      </c>
      <c r="I11">
        <v>1</v>
      </c>
      <c r="J11">
        <v>2</v>
      </c>
      <c r="K11" t="s">
        <v>121</v>
      </c>
      <c r="L11" t="s">
        <v>49</v>
      </c>
      <c r="M11">
        <v>148</v>
      </c>
      <c r="N11">
        <v>1</v>
      </c>
      <c r="O11">
        <v>0.3</v>
      </c>
      <c r="P11">
        <v>14</v>
      </c>
      <c r="Q11">
        <v>84</v>
      </c>
      <c r="R11">
        <v>10</v>
      </c>
      <c r="S11">
        <v>2</v>
      </c>
      <c r="T11">
        <v>13</v>
      </c>
      <c r="U11">
        <v>0.36</v>
      </c>
      <c r="V11" t="s">
        <v>122</v>
      </c>
      <c r="W11">
        <v>1</v>
      </c>
      <c r="X11" t="s">
        <v>122</v>
      </c>
      <c r="Y11" t="s">
        <v>122</v>
      </c>
      <c r="Z11">
        <v>0</v>
      </c>
      <c r="AA11">
        <v>0</v>
      </c>
      <c r="AB11">
        <v>0</v>
      </c>
      <c r="AC11" t="s">
        <v>82</v>
      </c>
      <c r="AD11" t="s">
        <v>82</v>
      </c>
      <c r="AE11">
        <v>100</v>
      </c>
      <c r="AF11">
        <v>9.6</v>
      </c>
    </row>
    <row r="12" spans="1:32" x14ac:dyDescent="0.35">
      <c r="A12">
        <v>10</v>
      </c>
      <c r="B12" t="s">
        <v>123</v>
      </c>
      <c r="C12" t="s">
        <v>96</v>
      </c>
      <c r="D12" t="s">
        <v>124</v>
      </c>
      <c r="E12" t="s">
        <v>125</v>
      </c>
      <c r="F12">
        <v>2</v>
      </c>
      <c r="G12" t="s">
        <v>126</v>
      </c>
      <c r="H12" t="s">
        <v>127</v>
      </c>
      <c r="I12">
        <v>1</v>
      </c>
      <c r="J12">
        <v>2</v>
      </c>
      <c r="K12" t="s">
        <v>128</v>
      </c>
      <c r="L12" t="s">
        <v>49</v>
      </c>
      <c r="M12">
        <v>33</v>
      </c>
      <c r="N12">
        <v>7</v>
      </c>
      <c r="O12">
        <v>16</v>
      </c>
      <c r="P12">
        <v>8</v>
      </c>
      <c r="Q12">
        <v>190</v>
      </c>
      <c r="R12">
        <v>3</v>
      </c>
      <c r="S12">
        <v>2</v>
      </c>
      <c r="T12">
        <v>15.99</v>
      </c>
      <c r="U12">
        <v>1.0007999999999999</v>
      </c>
      <c r="V12">
        <v>192</v>
      </c>
      <c r="W12">
        <v>140</v>
      </c>
      <c r="X12">
        <v>0</v>
      </c>
      <c r="Y12">
        <v>2</v>
      </c>
      <c r="Z12">
        <v>0</v>
      </c>
      <c r="AA12">
        <v>0</v>
      </c>
      <c r="AB12">
        <v>2.5</v>
      </c>
      <c r="AC12" t="s">
        <v>82</v>
      </c>
      <c r="AD12" t="s">
        <v>82</v>
      </c>
      <c r="AE12" t="s">
        <v>82</v>
      </c>
      <c r="AF12" t="s">
        <v>82</v>
      </c>
    </row>
    <row r="13" spans="1:32" x14ac:dyDescent="0.35">
      <c r="A13">
        <v>11</v>
      </c>
      <c r="B13" t="s">
        <v>130</v>
      </c>
      <c r="C13" t="s">
        <v>129</v>
      </c>
      <c r="D13" t="s">
        <v>77</v>
      </c>
      <c r="E13" t="s">
        <v>131</v>
      </c>
      <c r="F13">
        <v>4</v>
      </c>
      <c r="G13" t="s">
        <v>132</v>
      </c>
      <c r="H13" t="s">
        <v>80</v>
      </c>
      <c r="I13">
        <v>1</v>
      </c>
      <c r="J13">
        <v>2</v>
      </c>
      <c r="K13" t="s">
        <v>133</v>
      </c>
      <c r="L13" t="s">
        <v>49</v>
      </c>
      <c r="M13">
        <v>112</v>
      </c>
      <c r="N13">
        <v>22</v>
      </c>
      <c r="O13">
        <v>0.5</v>
      </c>
      <c r="P13">
        <v>0</v>
      </c>
      <c r="Q13">
        <v>90</v>
      </c>
      <c r="R13">
        <v>0</v>
      </c>
      <c r="S13">
        <v>0</v>
      </c>
      <c r="T13">
        <v>0</v>
      </c>
      <c r="U13">
        <v>0</v>
      </c>
      <c r="W13">
        <v>190</v>
      </c>
      <c r="Z13">
        <v>45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69F1C-36EF-4A50-95BA-C1645F3E9D83}">
  <sheetPr codeName="Sheet4"/>
  <dimension ref="A1:Z3"/>
  <sheetViews>
    <sheetView tabSelected="1" topLeftCell="C1" zoomScale="71" workbookViewId="0">
      <selection activeCell="O14" sqref="O14"/>
    </sheetView>
  </sheetViews>
  <sheetFormatPr defaultRowHeight="14.5" x14ac:dyDescent="0.35"/>
  <sheetData>
    <row r="1" spans="1:26" x14ac:dyDescent="0.35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36</v>
      </c>
      <c r="P1" t="s">
        <v>37</v>
      </c>
      <c r="Q1" t="s">
        <v>38</v>
      </c>
      <c r="R1" t="s">
        <v>39</v>
      </c>
      <c r="S1" t="s">
        <v>40</v>
      </c>
      <c r="T1" t="s">
        <v>41</v>
      </c>
      <c r="U1" t="s">
        <v>43</v>
      </c>
      <c r="V1" t="s">
        <v>52</v>
      </c>
      <c r="W1" t="s">
        <v>84</v>
      </c>
      <c r="X1" t="s">
        <v>46</v>
      </c>
      <c r="Y1" t="s">
        <v>47</v>
      </c>
      <c r="Z1" t="s">
        <v>48</v>
      </c>
    </row>
    <row r="2" spans="1:26" x14ac:dyDescent="0.35">
      <c r="A2" t="s">
        <v>115</v>
      </c>
      <c r="B2" t="s">
        <v>116</v>
      </c>
      <c r="C2" t="s">
        <v>117</v>
      </c>
      <c r="D2" t="s">
        <v>118</v>
      </c>
      <c r="E2">
        <v>1</v>
      </c>
      <c r="F2" t="s">
        <v>119</v>
      </c>
      <c r="G2" t="s">
        <v>120</v>
      </c>
      <c r="H2">
        <v>1</v>
      </c>
      <c r="I2">
        <v>2</v>
      </c>
      <c r="J2" s="29" t="s">
        <v>121</v>
      </c>
      <c r="K2" t="s">
        <v>49</v>
      </c>
      <c r="L2">
        <v>148</v>
      </c>
      <c r="M2">
        <v>1</v>
      </c>
      <c r="N2">
        <v>0.3</v>
      </c>
      <c r="O2">
        <v>14</v>
      </c>
      <c r="P2">
        <v>84</v>
      </c>
      <c r="Q2">
        <v>10</v>
      </c>
      <c r="R2">
        <v>2</v>
      </c>
      <c r="S2">
        <v>13</v>
      </c>
      <c r="T2">
        <v>0.36</v>
      </c>
      <c r="U2">
        <v>1</v>
      </c>
      <c r="V2">
        <v>100</v>
      </c>
      <c r="W2">
        <v>9.6</v>
      </c>
      <c r="X2">
        <v>0</v>
      </c>
      <c r="Y2">
        <v>0</v>
      </c>
      <c r="Z2">
        <v>0</v>
      </c>
    </row>
    <row r="3" spans="1:26" x14ac:dyDescent="0.35">
      <c r="J3" s="2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C2EF3-082E-4E1E-9610-051914BE5616}">
  <sheetPr codeName="Sheet5"/>
  <dimension ref="A1"/>
  <sheetViews>
    <sheetView workbookViewId="0">
      <selection activeCell="G8" sqref="G8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Overview</vt:lpstr>
      <vt:lpstr>Meals</vt:lpstr>
      <vt:lpstr>Foods</vt:lpstr>
      <vt:lpstr>Return</vt:lpstr>
      <vt:lpstr>Nutrients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Gonzalez</dc:creator>
  <cp:lastModifiedBy>Nick Gonzalez</cp:lastModifiedBy>
  <dcterms:created xsi:type="dcterms:W3CDTF">2021-02-05T22:49:59Z</dcterms:created>
  <dcterms:modified xsi:type="dcterms:W3CDTF">2021-02-18T03:50:53Z</dcterms:modified>
</cp:coreProperties>
</file>